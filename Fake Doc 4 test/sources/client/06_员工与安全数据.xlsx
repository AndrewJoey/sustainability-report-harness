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6eee14d4b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2c1735cb06554cb0"/>
    <x:sheet xmlns:r="http://schemas.openxmlformats.org/officeDocument/2006/relationships" name="员工结构" sheetId="2" r:id="Rfb7de599d15846df"/>
    <x:sheet xmlns:r="http://schemas.openxmlformats.org/officeDocument/2006/relationships" name="安全与培训" sheetId="3" r:id="Rf9a706b9a2c04cc4"/>
    <x:sheet xmlns:r="http://schemas.openxmlformats.org/officeDocument/2006/relationships" name="口径与复核" sheetId="4" r:id="Re48d4ac7d5dd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.00"/>
  </x:numFmts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4B556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sz val="10"/>
      <x:color rgb="FF5C45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DF2F7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FFF4CC"/>
      </x:patternFill>
    </x:fill>
    <x:fill>
      <x:patternFill patternType="solid">
        <x:fgColor rgb="FFF7F9FB"/>
      </x:patternFill>
    </x:fill>
  </x:fills>
  <x:borders count="18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  <x:border>
      <x:left style="thin">
        <x:color rgb="FFD6B84A"/>
      </x:left>
      <x:top style="thin">
        <x:color rgb="FFD6B84A"/>
      </x:top>
    </x:border>
    <x:border>
      <x:top style="thin">
        <x:color rgb="FFD6B84A"/>
      </x:top>
    </x:border>
    <x:border>
      <x:right style="thin">
        <x:color rgb="FFD6B84A"/>
      </x:right>
      <x:top style="thin">
        <x:color rgb="FFD6B84A"/>
      </x:top>
    </x:border>
    <x:border>
      <x:left style="thin">
        <x:color rgb="FFD6B84A"/>
      </x:left>
    </x:border>
    <x:border>
      <x:right style="thin">
        <x:color rgb="FFD6B84A"/>
      </x:right>
    </x:border>
    <x:border>
      <x:left style="thin">
        <x:color rgb="FFD6B84A"/>
      </x:left>
      <x:bottom style="thin">
        <x:color rgb="FFD6B84A"/>
      </x:bottom>
    </x:border>
    <x:border>
      <x:bottom style="thin">
        <x:color rgb="FFD6B84A"/>
      </x:bottom>
    </x:border>
    <x:border>
      <x:right style="thin">
        <x:color rgb="FFD6B84A"/>
      </x:right>
      <x:bottom style="thin">
        <x:color rgb="FFD6B84A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/>
    <x:xf numFmtId="0" fontId="4" fillId="0" borderId="1" xfId="0" applyNumberFormat="1" applyFont="1" applyFill="1" applyBorder="1"/>
    <x:xf numFmtId="0" fontId="4" fillId="0" borderId="17" xfId="0" applyNumberFormat="1" applyFont="1" applyFill="1" applyBorder="1"/>
    <x:xf numFmtId="0" fontId="4" fillId="0" borderId="16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200" fontId="4" fillId="0" borderId="16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17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17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e1b7c0cfd4977" /><Relationship Type="http://schemas.openxmlformats.org/officeDocument/2006/relationships/theme" Target="/xl/theme/theme1.xml" Id="R42b657c7acb74abf" /><Relationship Type="http://schemas.openxmlformats.org/officeDocument/2006/relationships/sharedStrings" Target="/xl/sharedStrings.xml" Id="Reebd93bfdd7e4d96" /><Relationship Type="http://schemas.openxmlformats.org/officeDocument/2006/relationships/worksheet" Target="/xl/worksheets/sheet1.xml" Id="R2c1735cb06554cb0" /><Relationship Type="http://schemas.openxmlformats.org/officeDocument/2006/relationships/worksheet" Target="/xl/worksheets/sheet2.xml" Id="Rfb7de599d15846df" /><Relationship Type="http://schemas.openxmlformats.org/officeDocument/2006/relationships/worksheet" Target="/xl/worksheets/sheet3.xml" Id="Rf9a706b9a2c04cc4" /><Relationship Type="http://schemas.openxmlformats.org/officeDocument/2006/relationships/worksheet" Target="/xl/worksheets/sheet4.xml" Id="Re48d4ac7d5dd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澄湾科技员工与安全数据</x:v>
      </x:c>
      <x:c r="B1" s="3" t="str">
        <x:v>澄湾科技员工与安全数据</x:v>
      </x:c>
      <x:c r="C1" s="3" t="str">
        <x:v>澄湾科技员工与安全数据</x:v>
      </x:c>
      <x:c r="D1" s="3" t="str">
        <x:v>澄湾科技员工与安全数据</x:v>
      </x:c>
      <x:c r="E1" s="3" t="str">
        <x:v>澄湾科技员工与安全数据</x:v>
      </x:c>
      <x:c r="F1" s="3" t="str">
        <x:v>澄湾科技员工与安全数据</x:v>
      </x:c>
    </x:row>
    <x:row r="2" ht="24" customHeight="1">
      <x:c r="A2" s="6" t="str">
        <x:v>完全虚构测试资料 | 2025 年度 | 未经第三方鉴证</x:v>
      </x:c>
      <x:c r="B2" s="6" t="str">
        <x:v>完全虚构测试资料 | 2025 年度 | 未经第三方鉴证</x:v>
      </x:c>
      <x:c r="C2" s="6" t="str">
        <x:v>完全虚构测试资料 | 2025 年度 | 未经第三方鉴证</x:v>
      </x:c>
      <x:c r="D2" s="6" t="str">
        <x:v>完全虚构测试资料 | 2025 年度 | 未经第三方鉴证</x:v>
      </x:c>
      <x:c r="E2" s="6" t="str">
        <x:v>完全虚构测试资料 | 2025 年度 | 未经第三方鉴证</x:v>
      </x:c>
      <x:c r="F2" s="6" t="str">
        <x:v>完全虚构测试资料 | 2025 年度 | 未经第三方鉴证</x:v>
      </x:c>
    </x:row>
    <x:row r="4" ht="28" customHeight="1">
      <x:c r="A4" s="12" t="str">
        <x:v>关键指标</x:v>
      </x:c>
      <x:c r="B4" s="12" t="str">
        <x:v>2025 结果</x:v>
      </x:c>
      <x:c r="D4" s="12" t="str">
        <x:v>数据说明</x:v>
      </x:c>
      <x:c r="E4" s="12" t="str">
        <x:v>数据说明</x:v>
      </x:c>
      <x:c r="F4" s="12" t="str">
        <x:v>数据说明</x:v>
      </x:c>
    </x:row>
    <x:row r="5">
      <x:c r="A5" s="29" t="str">
        <x:v>年末员工人数</x:v>
      </x:c>
      <x:c r="B5" s="32" t="n">
        <x:f>'员工结构'!E5</x:f>
        <x:v>502</x:v>
      </x:c>
      <x:c r="D5" s="56" t="str">
        <x:v>员工人数以年末在册员工为主；年度平均员工人数单独列示。TRIR 按可记录工伤数 × 200,000 / 总工时计算。承包商工时和事故尚未纳入统一口径。</x:v>
      </x:c>
      <x:c r="E5" s="57" t="str">
        <x:v>员工人数以年末在册员工为主；年度平均员工人数单独列示。TRIR 按可记录工伤数 × 200,000 / 总工时计算。承包商工时和事故尚未纳入统一口径。</x:v>
      </x:c>
      <x:c r="F5" s="58" t="str">
        <x:v>员工人数以年末在册员工为主；年度平均员工人数单独列示。TRIR 按可记录工伤数 × 200,000 / 总工时计算。承包商工时和事故尚未纳入统一口径。</x:v>
      </x:c>
    </x:row>
    <x:row r="6">
      <x:c r="A6" s="30" t="str">
        <x:v>女性员工占比</x:v>
      </x:c>
      <x:c r="B6" s="33" t="n">
        <x:f>'员工结构'!E8</x:f>
        <x:v>0.4302788844621514</x:v>
      </x:c>
      <x:c r="D6" s="59" t="str">
        <x:v>员工人数以年末在册员工为主；年度平均员工人数单独列示。TRIR 按可记录工伤数 × 200,000 / 总工时计算。承包商工时和事故尚未纳入统一口径。</x:v>
      </x:c>
      <x:c r="E6" s="60" t="str">
        <x:v>员工人数以年末在册员工为主；年度平均员工人数单独列示。TRIR 按可记录工伤数 × 200,000 / 总工时计算。承包商工时和事故尚未纳入统一口径。</x:v>
      </x:c>
      <x:c r="F6" s="61" t="str">
        <x:v>员工人数以年末在册员工为主；年度平均员工人数单独列示。TRIR 按可记录工伤数 × 200,000 / 总工时计算。承包商工时和事故尚未纳入统一口径。</x:v>
      </x:c>
    </x:row>
    <x:row r="7">
      <x:c r="A7" s="30" t="str">
        <x:v>女性管理者占比</x:v>
      </x:c>
      <x:c r="B7" s="33" t="n">
        <x:f>'员工结构'!E11</x:f>
        <x:v>0.3684210526315789</x:v>
      </x:c>
      <x:c r="D7" s="59" t="str">
        <x:v>员工人数以年末在册员工为主；年度平均员工人数单独列示。TRIR 按可记录工伤数 × 200,000 / 总工时计算。承包商工时和事故尚未纳入统一口径。</x:v>
      </x:c>
      <x:c r="E7" s="60" t="str">
        <x:v>员工人数以年末在册员工为主；年度平均员工人数单独列示。TRIR 按可记录工伤数 × 200,000 / 总工时计算。承包商工时和事故尚未纳入统一口径。</x:v>
      </x:c>
      <x:c r="F7" s="61" t="str">
        <x:v>员工人数以年末在册员工为主；年度平均员工人数单独列示。TRIR 按可记录工伤数 × 200,000 / 总工时计算。承包商工时和事故尚未纳入统一口径。</x:v>
      </x:c>
    </x:row>
    <x:row r="8">
      <x:c r="A8" s="30" t="str">
        <x:v>人均培训小时</x:v>
      </x:c>
      <x:c r="B8" s="34" t="n">
        <x:f>'安全与培训'!E10</x:f>
        <x:v>12.4</x:v>
      </x:c>
      <x:c r="D8" s="59" t="str">
        <x:v>员工人数以年末在册员工为主；年度平均员工人数单独列示。TRIR 按可记录工伤数 × 200,000 / 总工时计算。承包商工时和事故尚未纳入统一口径。</x:v>
      </x:c>
      <x:c r="E8" s="60" t="str">
        <x:v>员工人数以年末在册员工为主；年度平均员工人数单独列示。TRIR 按可记录工伤数 × 200,000 / 总工时计算。承包商工时和事故尚未纳入统一口径。</x:v>
      </x:c>
      <x:c r="F8" s="61" t="str">
        <x:v>员工人数以年末在册员工为主；年度平均员工人数单独列示。TRIR 按可记录工伤数 × 200,000 / 总工时计算。承包商工时和事故尚未纳入统一口径。</x:v>
      </x:c>
    </x:row>
    <x:row r="9">
      <x:c r="A9" s="30" t="str">
        <x:v>TRIR</x:v>
      </x:c>
      <x:c r="B9" s="35" t="n">
        <x:f>'安全与培训'!E8</x:f>
        <x:v>0.5802707930367504</x:v>
      </x:c>
      <x:c r="D9" s="59" t="str">
        <x:v>员工人数以年末在册员工为主；年度平均员工人数单独列示。TRIR 按可记录工伤数 × 200,000 / 总工时计算。承包商工时和事故尚未纳入统一口径。</x:v>
      </x:c>
      <x:c r="E9" s="60" t="str">
        <x:v>员工人数以年末在册员工为主；年度平均员工人数单独列示。TRIR 按可记录工伤数 × 200,000 / 总工时计算。承包商工时和事故尚未纳入统一口径。</x:v>
      </x:c>
      <x:c r="F9" s="61" t="str">
        <x:v>员工人数以年末在册员工为主；年度平均员工人数单独列示。TRIR 按可记录工伤数 × 200,000 / 总工时计算。承包商工时和事故尚未纳入统一口径。</x:v>
      </x:c>
    </x:row>
    <x:row r="10">
      <x:c r="A10" s="31" t="str">
        <x:v>死亡事故</x:v>
      </x:c>
      <x:c r="B10" s="36" t="n">
        <x:f>'安全与培训'!E5</x:f>
        <x:v>0</x:v>
      </x:c>
      <x:c r="D10" s="62" t="str">
        <x:v>员工人数以年末在册员工为主；年度平均员工人数单独列示。TRIR 按可记录工伤数 × 200,000 / 总工时计算。承包商工时和事故尚未纳入统一口径。</x:v>
      </x:c>
      <x:c r="E10" s="63" t="str">
        <x:v>员工人数以年末在册员工为主；年度平均员工人数单独列示。TRIR 按可记录工伤数 × 200,000 / 总工时计算。承包商工时和事故尚未纳入统一口径。</x:v>
      </x:c>
      <x:c r="F10" s="64" t="str">
        <x:v>员工人数以年末在册员工为主；年度平均员工人数单独列示。TRIR 按可记录工伤数 × 200,000 / 总工时计算。承包商工时和事故尚未纳入统一口径。</x:v>
      </x:c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38" hidden="0" customWidth="1"/>
    <x:col min="7" max="7" width="16" hidden="0" customWidth="1"/>
  </x:cols>
  <x:sheetData>
    <x:row r="1" ht="34" customHeight="1">
      <x:c r="A1" s="3" t="str">
        <x:v>员工结构</x:v>
      </x:c>
      <x:c r="B1" s="3" t="str">
        <x:v>员工结构</x:v>
      </x:c>
      <x:c r="C1" s="3" t="str">
        <x:v>员工结构</x:v>
      </x:c>
      <x:c r="D1" s="3" t="str">
        <x:v>员工结构</x:v>
      </x:c>
      <x:c r="E1" s="3" t="str">
        <x:v>员工结构</x:v>
      </x:c>
      <x:c r="F1" s="3" t="str">
        <x:v>员工结构</x:v>
      </x:c>
      <x:c r="G1" s="3" t="str">
        <x:v>员工结构</x:v>
      </x:c>
    </x:row>
    <x:row r="2" ht="24" customHeight="1">
      <x:c r="A2" s="6" t="str">
        <x:v>年末人数与年度平均人数分开列示</x:v>
      </x:c>
      <x:c r="B2" s="6" t="str">
        <x:v>年末人数与年度平均人数分开列示</x:v>
      </x:c>
      <x:c r="C2" s="6" t="str">
        <x:v>年末人数与年度平均人数分开列示</x:v>
      </x:c>
      <x:c r="D2" s="6" t="str">
        <x:v>年末人数与年度平均人数分开列示</x:v>
      </x:c>
      <x:c r="E2" s="6" t="str">
        <x:v>年末人数与年度平均人数分开列示</x:v>
      </x:c>
      <x:c r="F2" s="6" t="str">
        <x:v>年末人数与年度平均人数分开列示</x:v>
      </x:c>
      <x:c r="G2" s="6" t="str">
        <x:v>年末人数与年度平均人数分开列示</x:v>
      </x:c>
    </x:row>
    <x:row r="4" ht="28" customHeight="1">
      <x:c r="A4" s="12" t="str">
        <x:v>指标</x:v>
      </x:c>
      <x:c r="B4" s="12" t="str">
        <x:v>单位</x:v>
      </x:c>
      <x:c r="C4" s="12" t="str">
        <x:v>2023</x:v>
      </x:c>
      <x:c r="D4" s="12" t="str">
        <x:v>2024</x:v>
      </x:c>
      <x:c r="E4" s="12" t="str">
        <x:v>2025</x:v>
      </x:c>
      <x:c r="F4" s="12" t="str">
        <x:v>数据来源/口径</x:v>
      </x:c>
      <x:c r="G4" s="12" t="str">
        <x:v>复核状态</x:v>
      </x:c>
    </x:row>
    <x:row r="5">
      <x:c r="A5" s="71" t="str">
        <x:v>年末员工人数</x:v>
      </x:c>
      <x:c r="B5" s="68" t="str">
        <x:v>人</x:v>
      </x:c>
      <x:c r="C5" s="74" t="n">
        <x:v>451</x:v>
      </x:c>
      <x:c r="D5" s="74" t="n">
        <x:v>476</x:v>
      </x:c>
      <x:c r="E5" s="74" t="n">
        <x:v>502</x:v>
      </x:c>
      <x:c r="F5" s="68" t="str">
        <x:v>12 月 31 日在册员工</x:v>
      </x:c>
      <x:c r="G5" s="21" t="str">
        <x:v>内部复核</x:v>
      </x:c>
    </x:row>
    <x:row r="6">
      <x:c r="A6" s="72" t="str">
        <x:v>年度平均员工人数</x:v>
      </x:c>
      <x:c r="B6" s="69" t="str">
        <x:v>人</x:v>
      </x:c>
      <x:c r="C6" s="75" t="n">
        <x:v>442</x:v>
      </x:c>
      <x:c r="D6" s="75" t="n">
        <x:v>465</x:v>
      </x:c>
      <x:c r="E6" s="75" t="n">
        <x:v>486</x:v>
      </x:c>
      <x:c r="F6" s="69" t="str">
        <x:v>月末人数平均</x:v>
      </x:c>
      <x:c r="G6" s="23" t="str">
        <x:v>内部复核</x:v>
      </x:c>
    </x:row>
    <x:row r="7">
      <x:c r="A7" s="72" t="str">
        <x:v>女性员工人数</x:v>
      </x:c>
      <x:c r="B7" s="69" t="str">
        <x:v>人</x:v>
      </x:c>
      <x:c r="C7" s="75" t="n">
        <x:v>180</x:v>
      </x:c>
      <x:c r="D7" s="75" t="n">
        <x:v>199</x:v>
      </x:c>
      <x:c r="E7" s="75" t="n">
        <x:v>216</x:v>
      </x:c>
      <x:c r="F7" s="69" t="str">
        <x:v>员工自报性别</x:v>
      </x:c>
      <x:c r="G7" s="23" t="str">
        <x:v>内部复核</x:v>
      </x:c>
    </x:row>
    <x:row r="8">
      <x:c r="A8" s="72" t="str">
        <x:v>女性员工占比</x:v>
      </x:c>
      <x:c r="B8" s="69" t="str">
        <x:v>%</x:v>
      </x:c>
      <x:c r="C8" s="77" t="n">
        <x:f>C7/C5</x:f>
        <x:v>0.3991130820399113</x:v>
      </x:c>
      <x:c r="D8" s="77" t="n">
        <x:f>D7/D5</x:f>
        <x:v>0.4180672268907563</x:v>
      </x:c>
      <x:c r="E8" s="77" t="n">
        <x:f>E7/E5</x:f>
        <x:v>0.4302788844621514</x:v>
      </x:c>
      <x:c r="F8" s="69" t="str">
        <x:v>女性人数 / 年末员工人数</x:v>
      </x:c>
      <x:c r="G8" s="23" t="str">
        <x:v>公式</x:v>
      </x:c>
    </x:row>
    <x:row r="9">
      <x:c r="A9" s="72" t="str">
        <x:v>管理者人数</x:v>
      </x:c>
      <x:c r="B9" s="69" t="str">
        <x:v>人</x:v>
      </x:c>
      <x:c r="C9" s="75" t="n">
        <x:v>51</x:v>
      </x:c>
      <x:c r="D9" s="75" t="n">
        <x:v>55</x:v>
      </x:c>
      <x:c r="E9" s="75" t="n">
        <x:v>57</x:v>
      </x:c>
      <x:c r="F9" s="69" t="str">
        <x:v>主管及以上</x:v>
      </x:c>
      <x:c r="G9" s="23" t="str">
        <x:v>内部复核</x:v>
      </x:c>
    </x:row>
    <x:row r="10">
      <x:c r="A10" s="72" t="str">
        <x:v>女性管理者人数</x:v>
      </x:c>
      <x:c r="B10" s="69" t="str">
        <x:v>人</x:v>
      </x:c>
      <x:c r="C10" s="75" t="n">
        <x:v>16</x:v>
      </x:c>
      <x:c r="D10" s="75" t="n">
        <x:v>19</x:v>
      </x:c>
      <x:c r="E10" s="75" t="n">
        <x:v>21</x:v>
      </x:c>
      <x:c r="F10" s="69" t="str">
        <x:v>主管及以上女性员工</x:v>
      </x:c>
      <x:c r="G10" s="23" t="str">
        <x:v>内部复核</x:v>
      </x:c>
    </x:row>
    <x:row r="11">
      <x:c r="A11" s="72" t="str">
        <x:v>女性管理者占比</x:v>
      </x:c>
      <x:c r="B11" s="69" t="str">
        <x:v>%</x:v>
      </x:c>
      <x:c r="C11" s="77" t="n">
        <x:f>C10/C9</x:f>
        <x:v>0.3137254901960784</x:v>
      </x:c>
      <x:c r="D11" s="77" t="n">
        <x:f>D10/D9</x:f>
        <x:v>0.34545454545454546</x:v>
      </x:c>
      <x:c r="E11" s="77" t="n">
        <x:f>E10/E9</x:f>
        <x:v>0.3684210526315789</x:v>
      </x:c>
      <x:c r="F11" s="69" t="str">
        <x:v>女性管理者 / 管理者人数</x:v>
      </x:c>
      <x:c r="G11" s="23" t="str">
        <x:v>公式</x:v>
      </x:c>
    </x:row>
    <x:row r="12">
      <x:c r="A12" s="72" t="str">
        <x:v>30 岁以下员工</x:v>
      </x:c>
      <x:c r="B12" s="69" t="str">
        <x:v>人</x:v>
      </x:c>
      <x:c r="C12" s="75" t="n">
        <x:v>143</x:v>
      </x:c>
      <x:c r="D12" s="75" t="n">
        <x:v>153</x:v>
      </x:c>
      <x:c r="E12" s="75" t="n">
        <x:v>161</x:v>
      </x:c>
      <x:c r="F12" s="69" t="str">
        <x:v>年末口径</x:v>
      </x:c>
      <x:c r="G12" s="23" t="str">
        <x:v>内部复核</x:v>
      </x:c>
    </x:row>
    <x:row r="13">
      <x:c r="A13" s="72" t="str">
        <x:v>30-50 岁员工</x:v>
      </x:c>
      <x:c r="B13" s="69" t="str">
        <x:v>人</x:v>
      </x:c>
      <x:c r="C13" s="75" t="n">
        <x:v>267</x:v>
      </x:c>
      <x:c r="D13" s="75" t="n">
        <x:v>279</x:v>
      </x:c>
      <x:c r="E13" s="75" t="n">
        <x:v>294</x:v>
      </x:c>
      <x:c r="F13" s="69" t="str">
        <x:v>年末口径</x:v>
      </x:c>
      <x:c r="G13" s="23" t="str">
        <x:v>内部复核</x:v>
      </x:c>
    </x:row>
    <x:row r="14">
      <x:c r="A14" s="72" t="str">
        <x:v>50 岁以上员工</x:v>
      </x:c>
      <x:c r="B14" s="69" t="str">
        <x:v>人</x:v>
      </x:c>
      <x:c r="C14" s="75" t="n">
        <x:v>41</x:v>
      </x:c>
      <x:c r="D14" s="75" t="n">
        <x:v>44</x:v>
      </x:c>
      <x:c r="E14" s="75" t="n">
        <x:v>47</x:v>
      </x:c>
      <x:c r="F14" s="69" t="str">
        <x:v>年末口径</x:v>
      </x:c>
      <x:c r="G14" s="23" t="str">
        <x:v>内部复核</x:v>
      </x:c>
    </x:row>
    <x:row r="15">
      <x:c r="A15" s="73" t="str">
        <x:v>年度主动离职率</x:v>
      </x:c>
      <x:c r="B15" s="70" t="str">
        <x:v>%</x:v>
      </x:c>
      <x:c r="C15" s="78" t="n">
        <x:v>0.112</x:v>
      </x:c>
      <x:c r="D15" s="78" t="n">
        <x:v>0.106</x:v>
      </x:c>
      <x:c r="E15" s="78" t="n">
        <x:v>0.098</x:v>
      </x:c>
      <x:c r="F15" s="70" t="str">
        <x:v>主动离职人数 / 年度平均员工人数</x:v>
      </x:c>
      <x:c r="G15" s="25" t="str">
        <x:v>内部复核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40" hidden="0" customWidth="1"/>
    <x:col min="7" max="7" width="16" hidden="0" customWidth="1"/>
  </x:cols>
  <x:sheetData>
    <x:row r="1" ht="34" customHeight="1">
      <x:c r="A1" s="3" t="str">
        <x:v>职业健康安全与培训</x:v>
      </x:c>
      <x:c r="B1" s="3" t="str">
        <x:v>职业健康安全与培训</x:v>
      </x:c>
      <x:c r="C1" s="3" t="str">
        <x:v>职业健康安全与培训</x:v>
      </x:c>
      <x:c r="D1" s="3" t="str">
        <x:v>职业健康安全与培训</x:v>
      </x:c>
      <x:c r="E1" s="3" t="str">
        <x:v>职业健康安全与培训</x:v>
      </x:c>
      <x:c r="F1" s="3" t="str">
        <x:v>职业健康安全与培训</x:v>
      </x:c>
      <x:c r="G1" s="3" t="str">
        <x:v>职业健康安全与培训</x:v>
      </x:c>
    </x:row>
    <x:row r="2" ht="24" customHeight="1">
      <x:c r="A2" s="6" t="str">
        <x:v>TRIR 为公式派生指标；不含承包商统一汇总</x:v>
      </x:c>
      <x:c r="B2" s="6" t="str">
        <x:v>TRIR 为公式派生指标；不含承包商统一汇总</x:v>
      </x:c>
      <x:c r="C2" s="6" t="str">
        <x:v>TRIR 为公式派生指标；不含承包商统一汇总</x:v>
      </x:c>
      <x:c r="D2" s="6" t="str">
        <x:v>TRIR 为公式派生指标；不含承包商统一汇总</x:v>
      </x:c>
      <x:c r="E2" s="6" t="str">
        <x:v>TRIR 为公式派生指标；不含承包商统一汇总</x:v>
      </x:c>
      <x:c r="F2" s="6" t="str">
        <x:v>TRIR 为公式派生指标；不含承包商统一汇总</x:v>
      </x:c>
      <x:c r="G2" s="6" t="str">
        <x:v>TRIR 为公式派生指标；不含承包商统一汇总</x:v>
      </x:c>
    </x:row>
    <x:row r="4" ht="28" customHeight="1">
      <x:c r="A4" s="12" t="str">
        <x:v>指标</x:v>
      </x:c>
      <x:c r="B4" s="12" t="str">
        <x:v>单位</x:v>
      </x:c>
      <x:c r="C4" s="12" t="str">
        <x:v>2023</x:v>
      </x:c>
      <x:c r="D4" s="12" t="str">
        <x:v>2024</x:v>
      </x:c>
      <x:c r="E4" s="12" t="str">
        <x:v>2025</x:v>
      </x:c>
      <x:c r="F4" s="12" t="str">
        <x:v>数据来源/口径</x:v>
      </x:c>
      <x:c r="G4" s="12" t="str">
        <x:v>复核状态</x:v>
      </x:c>
    </x:row>
    <x:row r="5">
      <x:c r="A5" s="71" t="str">
        <x:v>死亡事故</x:v>
      </x:c>
      <x:c r="B5" s="68" t="str">
        <x:v>件</x:v>
      </x:c>
      <x:c r="C5" s="74" t="n">
        <x:v>0</x:v>
      </x:c>
      <x:c r="D5" s="74" t="n">
        <x:v>0</x:v>
      </x:c>
      <x:c r="E5" s="74" t="n">
        <x:v>0</x:v>
      </x:c>
      <x:c r="F5" s="81" t="str">
        <x:v>员工工伤事故</x:v>
      </x:c>
      <x:c r="G5" s="21" t="str">
        <x:v>内部复核</x:v>
      </x:c>
    </x:row>
    <x:row r="6">
      <x:c r="A6" s="72" t="str">
        <x:v>可记录工伤</x:v>
      </x:c>
      <x:c r="B6" s="69" t="str">
        <x:v>件</x:v>
      </x:c>
      <x:c r="C6" s="75" t="n">
        <x:v>4</x:v>
      </x:c>
      <x:c r="D6" s="75" t="n">
        <x:v>4</x:v>
      </x:c>
      <x:c r="E6" s="75" t="n">
        <x:v>3</x:v>
      </x:c>
      <x:c r="F6" s="82" t="str">
        <x:v>按公司内部工伤分类</x:v>
      </x:c>
      <x:c r="G6" s="23" t="str">
        <x:v>内部复核</x:v>
      </x:c>
    </x:row>
    <x:row r="7">
      <x:c r="A7" s="72" t="str">
        <x:v>员工总工时</x:v>
      </x:c>
      <x:c r="B7" s="69" t="str">
        <x:v>小时</x:v>
      </x:c>
      <x:c r="C7" s="75" t="n">
        <x:v>964000</x:v>
      </x:c>
      <x:c r="D7" s="75" t="n">
        <x:v>1018000</x:v>
      </x:c>
      <x:c r="E7" s="75" t="n">
        <x:v>1034000</x:v>
      </x:c>
      <x:c r="F7" s="82" t="str">
        <x:v>考勤工时汇总</x:v>
      </x:c>
      <x:c r="G7" s="23" t="str">
        <x:v>内部复核</x:v>
      </x:c>
    </x:row>
    <x:row r="8">
      <x:c r="A8" s="72" t="str">
        <x:v>TRIR</x:v>
      </x:c>
      <x:c r="B8" s="69" t="str">
        <x:v>每 20 万工时</x:v>
      </x:c>
      <x:c r="C8" s="79" t="n">
        <x:f>C6*200000/C7</x:f>
        <x:v>0.8298755186721992</x:v>
      </x:c>
      <x:c r="D8" s="79" t="n">
        <x:f>D6*200000/D7</x:f>
        <x:v>0.7858546168958742</x:v>
      </x:c>
      <x:c r="E8" s="79" t="n">
        <x:f>E6*200000/E7</x:f>
        <x:v>0.5802707930367504</x:v>
      </x:c>
      <x:c r="F8" s="82" t="str">
        <x:v>可记录工伤 × 200,000 / 总工时</x:v>
      </x:c>
      <x:c r="G8" s="23" t="str">
        <x:v>公式</x:v>
      </x:c>
    </x:row>
    <x:row r="9">
      <x:c r="A9" s="72" t="str">
        <x:v>损失工时伤害</x:v>
      </x:c>
      <x:c r="B9" s="69" t="str">
        <x:v>件</x:v>
      </x:c>
      <x:c r="C9" s="75" t="n">
        <x:v>1</x:v>
      </x:c>
      <x:c r="D9" s="75" t="n">
        <x:v>1</x:v>
      </x:c>
      <x:c r="E9" s="75" t="n">
        <x:v>1</x:v>
      </x:c>
      <x:c r="F9" s="82" t="str">
        <x:v>造成一个完整工作日以上损失</x:v>
      </x:c>
      <x:c r="G9" s="23" t="str">
        <x:v>内部复核</x:v>
      </x:c>
    </x:row>
    <x:row r="10">
      <x:c r="A10" s="72" t="str">
        <x:v>人均培训小时</x:v>
      </x:c>
      <x:c r="B10" s="69" t="str">
        <x:v>小时/人</x:v>
      </x:c>
      <x:c r="C10" s="80" t="n">
        <x:v>10.8</x:v>
      </x:c>
      <x:c r="D10" s="80" t="n">
        <x:v>11.6</x:v>
      </x:c>
      <x:c r="E10" s="80" t="n">
        <x:v>12.4</x:v>
      </x:c>
      <x:c r="F10" s="82" t="str">
        <x:v>培训总小时 / 年度平均员工人数</x:v>
      </x:c>
      <x:c r="G10" s="23" t="str">
        <x:v>内部复核</x:v>
      </x:c>
    </x:row>
    <x:row r="11">
      <x:c r="A11" s="72" t="str">
        <x:v>安全培训覆盖率</x:v>
      </x:c>
      <x:c r="B11" s="69" t="str">
        <x:v>%</x:v>
      </x:c>
      <x:c r="C11" s="77" t="n">
        <x:v>0.982</x:v>
      </x:c>
      <x:c r="D11" s="77" t="n">
        <x:v>0.991</x:v>
      </x:c>
      <x:c r="E11" s="77" t="n">
        <x:v>0.996</x:v>
      </x:c>
      <x:c r="F11" s="82" t="str">
        <x:v>应训员工完成率</x:v>
      </x:c>
      <x:c r="G11" s="23" t="str">
        <x:v>内部复核</x:v>
      </x:c>
    </x:row>
    <x:row r="12">
      <x:c r="A12" s="72" t="str">
        <x:v>重大职业病事件</x:v>
      </x:c>
      <x:c r="B12" s="69" t="str">
        <x:v>件</x:v>
      </x:c>
      <x:c r="C12" s="75" t="n">
        <x:v>0</x:v>
      </x:c>
      <x:c r="D12" s="75" t="n">
        <x:v>0</x:v>
      </x:c>
      <x:c r="E12" s="75" t="n">
        <x:v>0</x:v>
      </x:c>
      <x:c r="F12" s="82" t="str">
        <x:v>经确认重大职业病</x:v>
      </x:c>
      <x:c r="G12" s="23" t="str">
        <x:v>内部复核</x:v>
      </x:c>
    </x:row>
    <x:row r="13">
      <x:c r="A13" s="73" t="str">
        <x:v>承包商安全数据</x:v>
      </x:c>
      <x:c r="B13" s="70" t="str">
        <x:v>状态</x:v>
      </x:c>
      <x:c r="C13" s="70"/>
      <x:c r="D13" s="70"/>
      <x:c r="E13" s="70"/>
      <x:c r="F13" s="83" t="str">
        <x:v>尚未形成统一工时与事故口径</x:v>
      </x:c>
      <x:c r="G13" s="25" t="str">
        <x:v>信息缺口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6" hidden="0" customWidth="1"/>
    <x:col min="4" max="4" width="38" hidden="0" customWidth="1"/>
    <x:col min="5" max="5" width="38" hidden="0" customWidth="1"/>
  </x:cols>
  <x:sheetData>
    <x:row r="1" ht="34" customHeight="1">
      <x:c r="A1" s="84" t="str">
        <x:v>口径、责任人与复核</x:v>
      </x:c>
      <x:c r="B1" s="84" t="str">
        <x:v>口径、责任人与复核</x:v>
      </x:c>
      <x:c r="C1" s="84" t="str">
        <x:v>口径、责任人与复核</x:v>
      </x:c>
      <x:c r="D1" s="84" t="str">
        <x:v>口径、责任人与复核</x:v>
      </x:c>
      <x:c r="E1" s="84" t="str">
        <x:v>口径、责任人与复核</x:v>
      </x:c>
    </x:row>
    <x:row r="2" ht="24" customHeight="1">
      <x:c r="A2" s="6" t="str">
        <x:v>内部复核不等于第三方鉴证</x:v>
      </x:c>
      <x:c r="B2" s="6" t="str">
        <x:v>内部复核不等于第三方鉴证</x:v>
      </x:c>
      <x:c r="C2" s="6" t="str">
        <x:v>内部复核不等于第三方鉴证</x:v>
      </x:c>
      <x:c r="D2" s="6" t="str">
        <x:v>内部复核不等于第三方鉴证</x:v>
      </x:c>
      <x:c r="E2" s="6" t="str">
        <x:v>内部复核不等于第三方鉴证</x:v>
      </x:c>
    </x:row>
    <x:row r="4" ht="28" customHeight="1">
      <x:c r="A4" s="12" t="str">
        <x:v>主题</x:v>
      </x:c>
      <x:c r="B4" s="12" t="str">
        <x:v>边界</x:v>
      </x:c>
      <x:c r="C4" s="12" t="str">
        <x:v>责任部门</x:v>
      </x:c>
      <x:c r="D4" s="12" t="str">
        <x:v>主要凭证</x:v>
      </x:c>
      <x:c r="E4" s="12" t="str">
        <x:v>限制/说明</x:v>
      </x:c>
    </x:row>
    <x:row r="5" ht="42" customHeight="1">
      <x:c r="A5" s="71" t="str">
        <x:v>员工人数</x:v>
      </x:c>
      <x:c r="B5" s="68" t="str">
        <x:v>与公司建立劳动关系的员工</x:v>
      </x:c>
      <x:c r="C5" s="68" t="str">
        <x:v>人力资源部</x:v>
      </x:c>
      <x:c r="D5" s="68" t="str">
        <x:v>人事系统年末快照、月末人数</x:v>
      </x:c>
      <x:c r="E5" s="21" t="str">
        <x:v>上海共享办公员工纳入苏州组织口径</x:v>
      </x:c>
    </x:row>
    <x:row r="6" ht="42" customHeight="1">
      <x:c r="A6" s="72" t="str">
        <x:v>性别与年龄</x:v>
      </x:c>
      <x:c r="B6" s="69" t="str">
        <x:v>自报/人事系统信息</x:v>
      </x:c>
      <x:c r="C6" s="69" t="str">
        <x:v>人力资源部</x:v>
      </x:c>
      <x:c r="D6" s="69" t="str">
        <x:v>人事主数据</x:v>
      </x:c>
      <x:c r="E6" s="23" t="str">
        <x:v>当前仅按男女二元数据汇总</x:v>
      </x:c>
    </x:row>
    <x:row r="7" ht="42" customHeight="1">
      <x:c r="A7" s="72" t="str">
        <x:v>培训</x:v>
      </x:c>
      <x:c r="B7" s="69" t="str">
        <x:v>员工培训</x:v>
      </x:c>
      <x:c r="C7" s="69" t="str">
        <x:v>人力资源部 / EHS</x:v>
      </x:c>
      <x:c r="D7" s="69" t="str">
        <x:v>学习平台、签到表</x:v>
      </x:c>
      <x:c r="E7" s="23" t="str">
        <x:v>不含供应商与访客培训</x:v>
      </x:c>
    </x:row>
    <x:row r="8" ht="42" customHeight="1">
      <x:c r="A8" s="72" t="str">
        <x:v>职业健康安全</x:v>
      </x:c>
      <x:c r="B8" s="69" t="str">
        <x:v>员工工时与事故</x:v>
      </x:c>
      <x:c r="C8" s="69" t="str">
        <x:v>EHS 部</x:v>
      </x:c>
      <x:c r="D8" s="69" t="str">
        <x:v>考勤、事故调查、工伤记录</x:v>
      </x:c>
      <x:c r="E8" s="23" t="str">
        <x:v>承包商数据尚未统一</x:v>
      </x:c>
    </x:row>
    <x:row r="9" ht="42" customHeight="1">
      <x:c r="A9" s="72" t="str">
        <x:v>TRIR</x:v>
      </x:c>
      <x:c r="B9" s="69" t="str">
        <x:v>可记录工伤和员工工时</x:v>
      </x:c>
      <x:c r="C9" s="69" t="str">
        <x:v>EHS 部</x:v>
      </x:c>
      <x:c r="D9" s="69" t="str">
        <x:v>工作簿公式</x:v>
      </x:c>
      <x:c r="E9" s="23" t="str">
        <x:v>按每 200,000 工时计算</x:v>
      </x:c>
    </x:row>
    <x:row r="10" ht="42" customHeight="1">
      <x:c r="A10" s="73" t="str">
        <x:v>复核流程</x:v>
      </x:c>
      <x:c r="B10" s="70" t="str">
        <x:v>全部指标</x:v>
      </x:c>
      <x:c r="C10" s="70" t="str">
        <x:v>财务部</x:v>
      </x:c>
      <x:c r="D10" s="70" t="str">
        <x:v>季度异常检查、年度抽查</x:v>
      </x:c>
      <x:c r="E10" s="25" t="str">
        <x:v>不构成鉴证结论</x:v>
      </x:c>
    </x:row>
  </x:sheetData>
  <x:mergeCells>
    <x:mergeCell ref="A1:E1"/>
    <x:mergeCell ref="A2:E2"/>
  </x:mergeCells>
  <x:pageMargins left="0.7" right="0.7" top="0.75" bottom="0.75" header="0.3" footer="0.3"/>
</x:worksheet>
</file>