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390273c45641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摘要" sheetId="1" r:id="Ra5e528a150b141c0"/>
    <x:sheet xmlns:r="http://schemas.openxmlformats.org/officeDocument/2006/relationships" name="能源与排放" sheetId="2" r:id="Rd46d588825dc48d0"/>
    <x:sheet xmlns:r="http://schemas.openxmlformats.org/officeDocument/2006/relationships" name="水与废弃物" sheetId="3" r:id="R3e9516b19ea547c2"/>
    <x:sheet xmlns:r="http://schemas.openxmlformats.org/officeDocument/2006/relationships" name="口径与复核" sheetId="4" r:id="Rd3326f28fe3b48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 &quot;tCO2e&quot;"/>
    <x:numFmt numFmtId="201" formatCode="0.0%"/>
    <x:numFmt numFmtId="202" formatCode="#,##0.0"/>
    <x:numFmt numFmtId="203" formatCode="#,##0"/>
    <x:numFmt numFmtId="204" formatCode="0.0"/>
    <x:numFmt numFmtId="205" formatCode="0.000"/>
  </x:numFmts>
  <x:fonts count="7">
    <x:font>
      <x:sz val="11"/>
      <x:name val="Carlito"/>
    </x:font>
    <x:font>
      <x:b/>
      <x:sz val="18"/>
      <x:color rgb="FFFFFFFF"/>
      <x:name val="Microsoft YaHei"/>
    </x:font>
    <x:font>
      <x:sz val="10"/>
      <x:color rgb="FF4B5563"/>
      <x:name val="Microsoft YaHei"/>
    </x:font>
    <x:font>
      <x:b/>
      <x:sz val="10"/>
      <x:color rgb="FFFFFFFF"/>
      <x:name val="Microsoft YaHei"/>
    </x:font>
    <x:font>
      <x:sz val="10"/>
      <x:color rgb="FF1F2937"/>
      <x:name val="Microsoft YaHei"/>
    </x:font>
    <x:font>
      <x:b/>
      <x:sz val="10"/>
      <x:color rgb="FF1F2937"/>
      <x:name val="Microsoft YaHei"/>
    </x:font>
    <x:font>
      <x:sz val="10"/>
      <x:color rgb="FF5C4500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DF2F7"/>
      </x:patternFill>
    </x:fill>
    <x:fill>
      <x:patternFill patternType="solid">
        <x:fgColor rgb="FF2E74B5"/>
      </x:patternFill>
    </x:fill>
    <x:fill>
      <x:patternFill patternType="solid">
        <x:fgColor rgb="FFE8EEF5"/>
      </x:patternFill>
    </x:fill>
    <x:fill>
      <x:patternFill patternType="solid">
        <x:fgColor rgb="FFFFF4CC"/>
      </x:patternFill>
    </x:fill>
    <x:fill>
      <x:patternFill patternType="solid">
        <x:fgColor rgb="FFF7F9FB"/>
      </x:patternFill>
    </x:fill>
  </x:fills>
  <x:borders count="18">
    <x:border/>
    <x:border>
      <x:left style="thin">
        <x:color rgb="FFD8DEE6"/>
      </x:left>
      <x:right style="thin">
        <x:color rgb="FFD8DEE6"/>
      </x:right>
      <x:top style="thin">
        <x:color rgb="FFD8DEE6"/>
      </x:top>
      <x:bottom style="thin">
        <x:color rgb="FFD8DEE6"/>
      </x:bottom>
    </x:border>
    <x:border>
      <x:right style="thin">
        <x:color rgb="FFD8DEE6"/>
      </x:right>
      <x:bottom style="thin">
        <x:color rgb="FFD8DEE6"/>
      </x:bottom>
    </x:border>
    <x:border>
      <x:left style="thin">
        <x:color rgb="FFD8DEE6"/>
      </x:left>
      <x:bottom style="thin">
        <x:color rgb="FFD8DEE6"/>
      </x:bottom>
    </x:border>
    <x:border>
      <x:right style="thin">
        <x:color rgb="FFD8DEE6"/>
      </x:right>
      <x:top style="thin">
        <x:color rgb="FFD8DEE6"/>
      </x:top>
      <x:bottom style="thin">
        <x:color rgb="FFD8DEE6"/>
      </x:bottom>
    </x:border>
    <x:border>
      <x:left style="thin">
        <x:color rgb="FFD8DEE6"/>
      </x:left>
      <x:top style="thin">
        <x:color rgb="FFD8DEE6"/>
      </x:top>
      <x:bottom style="thin">
        <x:color rgb="FFD8DEE6"/>
      </x:bottom>
    </x:border>
    <x:border>
      <x:right style="thin">
        <x:color rgb="FFD8DEE6"/>
      </x:right>
      <x:top style="thin">
        <x:color rgb="FFD8DEE6"/>
      </x:top>
    </x:border>
    <x:border>
      <x:left style="thin">
        <x:color rgb="FFD8DEE6"/>
      </x:left>
      <x:top style="thin">
        <x:color rgb="FFD8DEE6"/>
      </x:top>
    </x:border>
    <x:border>
      <x:left style="thin">
        <x:color rgb="FFD6B84A"/>
      </x:left>
      <x:top style="thin">
        <x:color rgb="FFD6B84A"/>
      </x:top>
    </x:border>
    <x:border>
      <x:top style="thin">
        <x:color rgb="FFD6B84A"/>
      </x:top>
    </x:border>
    <x:border>
      <x:right style="thin">
        <x:color rgb="FFD6B84A"/>
      </x:right>
      <x:top style="thin">
        <x:color rgb="FFD6B84A"/>
      </x:top>
    </x:border>
    <x:border>
      <x:left style="thin">
        <x:color rgb="FFD6B84A"/>
      </x:left>
    </x:border>
    <x:border>
      <x:right style="thin">
        <x:color rgb="FFD6B84A"/>
      </x:right>
    </x:border>
    <x:border>
      <x:left style="thin">
        <x:color rgb="FFD6B84A"/>
      </x:left>
      <x:bottom style="thin">
        <x:color rgb="FFD6B84A"/>
      </x:bottom>
    </x:border>
    <x:border>
      <x:bottom style="thin">
        <x:color rgb="FFD6B84A"/>
      </x:bottom>
    </x:border>
    <x:border>
      <x:right style="thin">
        <x:color rgb="FFD6B84A"/>
      </x:right>
      <x:bottom style="thin">
        <x:color rgb="FFD6B84A"/>
      </x:bottom>
    </x:border>
    <x:border>
      <x:left style="thin">
        <x:color rgb="FFD8DEE6"/>
      </x:left>
      <x:right style="thin">
        <x:color rgb="FFD8DEE6"/>
      </x:right>
      <x:bottom style="thin">
        <x:color rgb="FFD8DEE6"/>
      </x:bottom>
    </x:border>
    <x:border>
      <x:left style="thin">
        <x:color rgb="FFD8DEE6"/>
      </x:left>
      <x:right style="thin">
        <x:color rgb="FFD8DEE6"/>
      </x:right>
      <x:top style="thin">
        <x:color rgb="FFD8DEE6"/>
      </x:top>
    </x:border>
  </x:borders>
  <x:cellStyleXfs count="1">
    <x:xf numFmtId="0" fontId="0" fillId="0" borderId="0"/>
  </x:cellStyleXfs>
  <x:cellXfs count="8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vertical="center"/>
    </x:xf>
    <x:xf numFmtId="0" fontId="5" fillId="5" borderId="2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0" fontId="5" fillId="5" borderId="6" xfId="0" applyNumberFormat="1" applyFont="1" applyFill="1" applyBorder="1" applyAlignment="1">
      <x:alignment vertical="center"/>
    </x:xf>
    <x:xf numFmtId="200" fontId="4" fillId="0" borderId="3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1" fontId="4" fillId="0" borderId="7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10" xfId="0" applyNumberFormat="1" applyFont="1" applyFill="1" applyBorder="1"/>
    <x:xf numFmtId="0" fontId="6" fillId="6" borderId="11" xfId="0" applyNumberFormat="1" applyFont="1" applyFill="1" applyBorder="1"/>
    <x:xf numFmtId="0" fontId="6" fillId="6" borderId="12" xfId="0" applyNumberFormat="1" applyFont="1" applyFill="1" applyBorder="1"/>
    <x:xf numFmtId="0" fontId="6" fillId="6" borderId="13" xfId="0" applyNumberFormat="1" applyFont="1" applyFill="1" applyBorder="1"/>
    <x:xf numFmtId="0" fontId="6" fillId="6" borderId="14" xfId="0" applyNumberFormat="1" applyFont="1" applyFill="1" applyBorder="1"/>
    <x:xf numFmtId="0" fontId="6" fillId="6" borderId="15" xfId="0" applyNumberFormat="1" applyFont="1" applyFill="1" applyBorder="1"/>
    <x:xf numFmtId="0" fontId="6" fillId="6" borderId="8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wrapText="1"/>
    </x:xf>
    <x:xf numFmtId="0" fontId="6" fillId="6" borderId="10" xfId="0" applyNumberFormat="1" applyFont="1" applyFill="1" applyBorder="1" applyAlignment="1">
      <x:alignment wrapText="1"/>
    </x:xf>
    <x:xf numFmtId="0" fontId="6" fillId="6" borderId="11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12" xfId="0" applyNumberFormat="1" applyFont="1" applyFill="1" applyBorder="1" applyAlignment="1">
      <x:alignment wrapText="1"/>
    </x:xf>
    <x:xf numFmtId="0" fontId="6" fillId="6" borderId="13" xfId="0" applyNumberFormat="1" applyFont="1" applyFill="1" applyBorder="1" applyAlignment="1">
      <x:alignment wrapText="1"/>
    </x:xf>
    <x:xf numFmtId="0" fontId="6" fillId="6" borderId="14" xfId="0" applyNumberFormat="1" applyFont="1" applyFill="1" applyBorder="1" applyAlignment="1">
      <x:alignment wrapText="1"/>
    </x:xf>
    <x:xf numFmtId="0" fontId="6" fillId="6" borderId="15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vertical="center" wrapText="1"/>
    </x:xf>
    <x:xf numFmtId="0" fontId="6" fillId="6" borderId="9" xfId="0" applyNumberFormat="1" applyFont="1" applyFill="1" applyBorder="1" applyAlignment="1">
      <x:alignment vertical="center" wrapText="1"/>
    </x:xf>
    <x:xf numFmtId="0" fontId="6" fillId="6" borderId="10" xfId="0" applyNumberFormat="1" applyFont="1" applyFill="1" applyBorder="1" applyAlignment="1">
      <x:alignment vertical="center" wrapText="1"/>
    </x:xf>
    <x:xf numFmtId="0" fontId="6" fillId="6" borderId="11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12" xfId="0" applyNumberFormat="1" applyFont="1" applyFill="1" applyBorder="1" applyAlignment="1">
      <x:alignment vertical="center" wrapText="1"/>
    </x:xf>
    <x:xf numFmtId="0" fontId="6" fillId="6" borderId="13" xfId="0" applyNumberFormat="1" applyFont="1" applyFill="1" applyBorder="1" applyAlignment="1">
      <x:alignment vertical="center" wrapText="1"/>
    </x:xf>
    <x:xf numFmtId="0" fontId="6" fillId="6" borderId="14" xfId="0" applyNumberFormat="1" applyFont="1" applyFill="1" applyBorder="1" applyAlignment="1">
      <x:alignment vertical="center" wrapText="1"/>
    </x:xf>
    <x:xf numFmtId="0" fontId="6" fillId="6" borderId="15" xfId="0" applyNumberFormat="1" applyFont="1" applyFill="1" applyBorder="1" applyAlignment="1">
      <x:alignment vertical="center" wrapText="1"/>
    </x:xf>
    <x:xf numFmtId="0" fontId="4" fillId="0" borderId="16" xfId="0" applyNumberFormat="1" applyFont="1" applyFill="1" applyBorder="1"/>
    <x:xf numFmtId="0" fontId="4" fillId="0" borderId="1" xfId="0" applyNumberFormat="1" applyFont="1" applyFill="1" applyBorder="1"/>
    <x:xf numFmtId="0" fontId="4" fillId="0" borderId="17" xfId="0" applyNumberFormat="1" applyFont="1" applyFill="1" applyBorder="1"/>
    <x:xf numFmtId="0" fontId="4" fillId="0" borderId="16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0" borderId="17" xfId="0" applyNumberFormat="1" applyFont="1" applyFill="1" applyBorder="1" applyAlignment="1">
      <x:alignment vertical="center"/>
    </x:xf>
    <x:xf numFmtId="0" fontId="4" fillId="7" borderId="2" xfId="0" applyNumberFormat="1" applyFont="1" applyFill="1" applyBorder="1" applyAlignment="1">
      <x:alignment vertical="center"/>
    </x:xf>
    <x:xf numFmtId="0" fontId="4" fillId="7" borderId="4" xfId="0" applyNumberFormat="1" applyFont="1" applyFill="1" applyBorder="1" applyAlignment="1">
      <x:alignment vertical="center"/>
    </x:xf>
    <x:xf numFmtId="0" fontId="4" fillId="7" borderId="6" xfId="0" applyNumberFormat="1" applyFont="1" applyFill="1" applyBorder="1" applyAlignment="1">
      <x:alignment vertical="center"/>
    </x:xf>
    <x:xf numFmtId="202" fontId="4" fillId="0" borderId="16" xfId="0" applyNumberFormat="1" applyFont="1" applyFill="1" applyBorder="1" applyAlignment="1">
      <x:alignment vertical="center"/>
    </x:xf>
    <x:xf numFmtId="202" fontId="4" fillId="0" borderId="1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203" fontId="4" fillId="0" borderId="1" xfId="0" applyNumberFormat="1" applyFont="1" applyFill="1" applyBorder="1" applyAlignment="1">
      <x:alignment vertical="center"/>
    </x:xf>
    <x:xf numFmtId="204" fontId="4" fillId="0" borderId="1" xfId="0" applyNumberFormat="1" applyFont="1" applyFill="1" applyBorder="1" applyAlignment="1">
      <x:alignment vertical="center"/>
    </x:xf>
    <x:xf numFmtId="201" fontId="4" fillId="0" borderId="17" xfId="0" applyNumberFormat="1" applyFont="1" applyFill="1" applyBorder="1" applyAlignment="1">
      <x:alignment vertical="center"/>
    </x:xf>
    <x:xf numFmtId="0" fontId="4" fillId="0" borderId="16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17" xfId="0" applyNumberFormat="1" applyFont="1" applyFill="1" applyBorder="1" applyAlignment="1">
      <x:alignment vertical="center" wrapText="1"/>
    </x:xf>
    <x:xf numFmtId="205" fontId="4" fillId="0" borderId="1" xfId="0" applyNumberFormat="1" applyFont="1" applyFill="1" applyBorder="1" applyAlignment="1">
      <x:alignment vertical="center"/>
    </x:xf>
    <x:xf numFmtId="203" fontId="4" fillId="0" borderId="17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6adef116f44f6d" /><Relationship Type="http://schemas.openxmlformats.org/officeDocument/2006/relationships/theme" Target="/xl/theme/theme1.xml" Id="R795af508aa754d09" /><Relationship Type="http://schemas.openxmlformats.org/officeDocument/2006/relationships/sharedStrings" Target="/xl/sharedStrings.xml" Id="R743c82e9ea8748cb" /><Relationship Type="http://schemas.openxmlformats.org/officeDocument/2006/relationships/worksheet" Target="/xl/worksheets/sheet1.xml" Id="Ra5e528a150b141c0" /><Relationship Type="http://schemas.openxmlformats.org/officeDocument/2006/relationships/worksheet" Target="/xl/worksheets/sheet2.xml" Id="Rd46d588825dc48d0" /><Relationship Type="http://schemas.openxmlformats.org/officeDocument/2006/relationships/worksheet" Target="/xl/worksheets/sheet3.xml" Id="R3e9516b19ea547c2" /><Relationship Type="http://schemas.openxmlformats.org/officeDocument/2006/relationships/worksheet" Target="/xl/worksheets/sheet4.xml" Id="Rd3326f28fe3b48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  <x:col min="3" max="3" width="3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4" customHeight="1">
      <x:c r="A1" s="3" t="str">
        <x:v>澄湾科技环境绩效数据</x:v>
      </x:c>
      <x:c r="B1" s="3" t="str">
        <x:v>澄湾科技环境绩效数据</x:v>
      </x:c>
      <x:c r="C1" s="3" t="str">
        <x:v>澄湾科技环境绩效数据</x:v>
      </x:c>
      <x:c r="D1" s="3" t="str">
        <x:v>澄湾科技环境绩效数据</x:v>
      </x:c>
      <x:c r="E1" s="3" t="str">
        <x:v>澄湾科技环境绩效数据</x:v>
      </x:c>
      <x:c r="F1" s="3" t="str">
        <x:v>澄湾科技环境绩效数据</x:v>
      </x:c>
    </x:row>
    <x:row r="2" ht="24" customHeight="1">
      <x:c r="A2" s="6" t="str">
        <x:v>完全虚构测试资料 | 报告期 2025-01-01 至 2025-12-31 | 未经第三方鉴证</x:v>
      </x:c>
      <x:c r="B2" s="6" t="str">
        <x:v>完全虚构测试资料 | 报告期 2025-01-01 至 2025-12-31 | 未经第三方鉴证</x:v>
      </x:c>
      <x:c r="C2" s="6" t="str">
        <x:v>完全虚构测试资料 | 报告期 2025-01-01 至 2025-12-31 | 未经第三方鉴证</x:v>
      </x:c>
      <x:c r="D2" s="6" t="str">
        <x:v>完全虚构测试资料 | 报告期 2025-01-01 至 2025-12-31 | 未经第三方鉴证</x:v>
      </x:c>
      <x:c r="E2" s="6" t="str">
        <x:v>完全虚构测试资料 | 报告期 2025-01-01 至 2025-12-31 | 未经第三方鉴证</x:v>
      </x:c>
      <x:c r="F2" s="6" t="str">
        <x:v>完全虚构测试资料 | 报告期 2025-01-01 至 2025-12-31 | 未经第三方鉴证</x:v>
      </x:c>
    </x:row>
    <x:row r="4" ht="28" customHeight="1">
      <x:c r="A4" s="12" t="str">
        <x:v>关键指标</x:v>
      </x:c>
      <x:c r="B4" s="12" t="str">
        <x:v>2025 结果</x:v>
      </x:c>
      <x:c r="D4" s="12" t="str">
        <x:v>数据说明</x:v>
      </x:c>
      <x:c r="E4" s="12" t="str">
        <x:v>数据说明</x:v>
      </x:c>
      <x:c r="F4" s="12" t="str">
        <x:v>数据说明</x:v>
      </x:c>
    </x:row>
    <x:row r="5" ht="28" customHeight="1">
      <x:c r="A5" s="29" t="str">
        <x:v>范围一与二（市场法）</x:v>
      </x:c>
      <x:c r="B5" s="32" t="n">
        <x:f>'能源与排放'!E8</x:f>
        <x:v>9040</x:v>
      </x:c>
      <x:c r="D5" s="54" t="str">
        <x:v>组织边界采用运营控制法，覆盖苏州总部及工厂、无锡仓储中心。范围三为部分筛查数据；温室气体及其他环境数据均未获第三方鉴证。所有派生指标由工作表公式计算。</x:v>
      </x:c>
      <x:c r="E5" s="55" t="str">
        <x:v>组织边界采用运营控制法，覆盖苏州总部及工厂、无锡仓储中心。范围三为部分筛查数据；温室气体及其他环境数据均未获第三方鉴证。所有派生指标由工作表公式计算。</x:v>
      </x:c>
      <x:c r="F5" s="56" t="str">
        <x:v>组织边界采用运营控制法，覆盖苏州总部及工厂、无锡仓储中心。范围三为部分筛查数据；温室气体及其他环境数据均未获第三方鉴证。所有派生指标由工作表公式计算。</x:v>
      </x:c>
    </x:row>
    <x:row r="6" ht="28" customHeight="1">
      <x:c r="A6" s="30" t="str">
        <x:v>较 2023 年下降</x:v>
      </x:c>
      <x:c r="B6" s="33" t="n">
        <x:f>1-'能源与排放'!E8/'能源与排放'!C8</x:f>
        <x:v>0.19999999999999996</x:v>
      </x:c>
      <x:c r="D6" s="57" t="str">
        <x:v>组织边界采用运营控制法，覆盖苏州总部及工厂、无锡仓储中心。范围三为部分筛查数据；温室气体及其他环境数据均未获第三方鉴证。所有派生指标由工作表公式计算。</x:v>
      </x:c>
      <x:c r="E6" s="58" t="str">
        <x:v>组织边界采用运营控制法，覆盖苏州总部及工厂、无锡仓储中心。范围三为部分筛查数据；温室气体及其他环境数据均未获第三方鉴证。所有派生指标由工作表公式计算。</x:v>
      </x:c>
      <x:c r="F6" s="59" t="str">
        <x:v>组织边界采用运营控制法，覆盖苏州总部及工厂、无锡仓储中心。范围三为部分筛查数据；温室气体及其他环境数据均未获第三方鉴证。所有派生指标由工作表公式计算。</x:v>
      </x:c>
    </x:row>
    <x:row r="7" ht="28" customHeight="1">
      <x:c r="A7" s="30" t="str">
        <x:v>可再生能源占比</x:v>
      </x:c>
      <x:c r="B7" s="33" t="n">
        <x:f>'能源与排放'!E12</x:f>
        <x:v>0.2996594778660613</x:v>
      </x:c>
      <x:c r="D7" s="57" t="str">
        <x:v>组织边界采用运营控制法，覆盖苏州总部及工厂、无锡仓储中心。范围三为部分筛查数据；温室气体及其他环境数据均未获第三方鉴证。所有派生指标由工作表公式计算。</x:v>
      </x:c>
      <x:c r="E7" s="58" t="str">
        <x:v>组织边界采用运营控制法，覆盖苏州总部及工厂、无锡仓储中心。范围三为部分筛查数据；温室气体及其他环境数据均未获第三方鉴证。所有派生指标由工作表公式计算。</x:v>
      </x:c>
      <x:c r="F7" s="59" t="str">
        <x:v>组织边界采用运营控制法，覆盖苏州总部及工厂、无锡仓储中心。范围三为部分筛查数据；温室气体及其他环境数据均未获第三方鉴证。所有派生指标由工作表公式计算。</x:v>
      </x:c>
    </x:row>
    <x:row r="8" ht="28" customHeight="1">
      <x:c r="A8" s="30" t="str">
        <x:v>废弃物资源化率</x:v>
      </x:c>
      <x:c r="B8" s="33" t="n">
        <x:f>'水与废弃物'!E12</x:f>
        <x:v>0.9259259259259259</x:v>
      </x:c>
      <x:c r="D8" s="57" t="str">
        <x:v>组织边界采用运营控制法，覆盖苏州总部及工厂、无锡仓储中心。范围三为部分筛查数据；温室气体及其他环境数据均未获第三方鉴证。所有派生指标由工作表公式计算。</x:v>
      </x:c>
      <x:c r="E8" s="58" t="str">
        <x:v>组织边界采用运营控制法，覆盖苏州总部及工厂、无锡仓储中心。范围三为部分筛查数据；温室气体及其他环境数据均未获第三方鉴证。所有派生指标由工作表公式计算。</x:v>
      </x:c>
      <x:c r="F8" s="59" t="str">
        <x:v>组织边界采用运营控制法，覆盖苏州总部及工厂、无锡仓储中心。范围三为部分筛查数据；温室气体及其他环境数据均未获第三方鉴证。所有派生指标由工作表公式计算。</x:v>
      </x:c>
    </x:row>
    <x:row r="9" ht="28" customHeight="1">
      <x:c r="A9" s="31" t="str">
        <x:v>产品平均再生材料占比</x:v>
      </x:c>
      <x:c r="B9" s="34" t="n">
        <x:f>'水与废弃物'!E13</x:f>
        <x:v>0.67</x:v>
      </x:c>
      <x:c r="D9" s="60" t="str">
        <x:v>组织边界采用运营控制法，覆盖苏州总部及工厂、无锡仓储中心。范围三为部分筛查数据；温室气体及其他环境数据均未获第三方鉴证。所有派生指标由工作表公式计算。</x:v>
      </x:c>
      <x:c r="E9" s="61" t="str">
        <x:v>组织边界采用运营控制法，覆盖苏州总部及工厂、无锡仓储中心。范围三为部分筛查数据；温室气体及其他环境数据均未获第三方鉴证。所有派生指标由工作表公式计算。</x:v>
      </x:c>
      <x:c r="F9" s="62" t="str">
        <x:v>组织边界采用运营控制法，覆盖苏州总部及工厂、无锡仓储中心。范围三为部分筛查数据；温室气体及其他环境数据均未获第三方鉴证。所有派生指标由工作表公式计算。</x:v>
      </x:c>
    </x:row>
  </x:sheetData>
  <x:mergeCells>
    <x:mergeCell ref="A1:F1"/>
    <x:mergeCell ref="A2:F2"/>
    <x:mergeCell ref="D4:F4"/>
    <x:mergeCell ref="D5:F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13" hidden="0" customWidth="1"/>
    <x:col min="4" max="4" width="13" hidden="0" customWidth="1"/>
    <x:col min="5" max="5" width="13" hidden="0" customWidth="1"/>
    <x:col min="6" max="6" width="37" hidden="0" customWidth="1"/>
    <x:col min="7" max="7" width="16" hidden="0" customWidth="1"/>
  </x:cols>
  <x:sheetData>
    <x:row r="1" ht="34" customHeight="1">
      <x:c r="A1" s="3" t="str">
        <x:v>能源与排放</x:v>
      </x:c>
      <x:c r="B1" s="3" t="str">
        <x:v>能源与排放</x:v>
      </x:c>
      <x:c r="C1" s="3" t="str">
        <x:v>能源与排放</x:v>
      </x:c>
      <x:c r="D1" s="3" t="str">
        <x:v>能源与排放</x:v>
      </x:c>
      <x:c r="E1" s="3" t="str">
        <x:v>能源与排放</x:v>
      </x:c>
      <x:c r="F1" s="3" t="str">
        <x:v>能源与排放</x:v>
      </x:c>
      <x:c r="G1" s="3" t="str">
        <x:v>能源与排放</x:v>
      </x:c>
    </x:row>
    <x:row r="2" ht="24" customHeight="1">
      <x:c r="A2" s="6" t="str">
        <x:v>数据单位、统计期间、公式和复核状态均保留</x:v>
      </x:c>
      <x:c r="B2" s="6" t="str">
        <x:v>数据单位、统计期间、公式和复核状态均保留</x:v>
      </x:c>
      <x:c r="C2" s="6" t="str">
        <x:v>数据单位、统计期间、公式和复核状态均保留</x:v>
      </x:c>
      <x:c r="D2" s="6" t="str">
        <x:v>数据单位、统计期间、公式和复核状态均保留</x:v>
      </x:c>
      <x:c r="E2" s="6" t="str">
        <x:v>数据单位、统计期间、公式和复核状态均保留</x:v>
      </x:c>
      <x:c r="F2" s="6" t="str">
        <x:v>数据单位、统计期间、公式和复核状态均保留</x:v>
      </x:c>
      <x:c r="G2" s="6" t="str">
        <x:v>数据单位、统计期间、公式和复核状态均保留</x:v>
      </x:c>
    </x:row>
    <x:row r="4" ht="28" customHeight="1">
      <x:c r="A4" s="12" t="str">
        <x:v>指标</x:v>
      </x:c>
      <x:c r="B4" s="12" t="str">
        <x:v>单位</x:v>
      </x:c>
      <x:c r="C4" s="12" t="str">
        <x:v>2023</x:v>
      </x:c>
      <x:c r="D4" s="12" t="str">
        <x:v>2024</x:v>
      </x:c>
      <x:c r="E4" s="12" t="str">
        <x:v>2025</x:v>
      </x:c>
      <x:c r="F4" s="12" t="str">
        <x:v>数据来源/口径</x:v>
      </x:c>
      <x:c r="G4" s="12" t="str">
        <x:v>复核状态</x:v>
      </x:c>
    </x:row>
    <x:row r="5">
      <x:c r="A5" s="69" t="str">
        <x:v>范围一排放</x:v>
      </x:c>
      <x:c r="B5" s="66" t="str">
        <x:v>tCO2e</x:v>
      </x:c>
      <x:c r="C5" s="72" t="n">
        <x:v>3200</x:v>
      </x:c>
      <x:c r="D5" s="72" t="n">
        <x:v>3050</x:v>
      </x:c>
      <x:c r="E5" s="72" t="n">
        <x:v>2890</x:v>
      </x:c>
      <x:c r="F5" s="78" t="str">
        <x:v>燃料消耗 × 排放因子</x:v>
      </x:c>
      <x:c r="G5" s="21" t="str">
        <x:v>内部复核</x:v>
      </x:c>
    </x:row>
    <x:row r="6">
      <x:c r="A6" s="70" t="str">
        <x:v>范围二排放（市场法）</x:v>
      </x:c>
      <x:c r="B6" s="67" t="str">
        <x:v>tCO2e</x:v>
      </x:c>
      <x:c r="C6" s="73" t="n">
        <x:v>8100</x:v>
      </x:c>
      <x:c r="D6" s="73" t="n">
        <x:v>7200</x:v>
      </x:c>
      <x:c r="E6" s="73" t="n">
        <x:v>6150</x:v>
      </x:c>
      <x:c r="F6" s="79" t="str">
        <x:v>购电量与合同工具</x:v>
      </x:c>
      <x:c r="G6" s="23" t="str">
        <x:v>内部复核</x:v>
      </x:c>
    </x:row>
    <x:row r="7">
      <x:c r="A7" s="70" t="str">
        <x:v>范围二排放（所在地法）</x:v>
      </x:c>
      <x:c r="B7" s="67" t="str">
        <x:v>tCO2e</x:v>
      </x:c>
      <x:c r="C7" s="73" t="n">
        <x:v>8400</x:v>
      </x:c>
      <x:c r="D7" s="73" t="n">
        <x:v>7800</x:v>
      </x:c>
      <x:c r="E7" s="73" t="n">
        <x:v>7050</x:v>
      </x:c>
      <x:c r="F7" s="79" t="str">
        <x:v>购电量 × 电网因子</x:v>
      </x:c>
      <x:c r="G7" s="23" t="str">
        <x:v>内部复核</x:v>
      </x:c>
    </x:row>
    <x:row r="8">
      <x:c r="A8" s="70" t="str">
        <x:v>范围一与二合计（市场法）</x:v>
      </x:c>
      <x:c r="B8" s="67" t="str">
        <x:v>tCO2e</x:v>
      </x:c>
      <x:c r="C8" s="73" t="n">
        <x:f>C5+C6</x:f>
        <x:v>11300</x:v>
      </x:c>
      <x:c r="D8" s="73" t="n">
        <x:f>D5+D6</x:f>
        <x:v>10250</x:v>
      </x:c>
      <x:c r="E8" s="73" t="n">
        <x:f>E5+E6</x:f>
        <x:v>9040</x:v>
      </x:c>
      <x:c r="F8" s="79" t="str">
        <x:v>范围一 + 范围二市场法</x:v>
      </x:c>
      <x:c r="G8" s="23" t="str">
        <x:v>公式</x:v>
      </x:c>
    </x:row>
    <x:row r="9">
      <x:c r="A9" s="70" t="str">
        <x:v>部分范围三筛查</x:v>
      </x:c>
      <x:c r="B9" s="67" t="str">
        <x:v>tCO2e</x:v>
      </x:c>
      <x:c r="C9" s="73" t="n">
        <x:v>15600</x:v>
      </x:c>
      <x:c r="D9" s="73" t="n">
        <x:v>14900</x:v>
      </x:c>
      <x:c r="E9" s="73" t="n">
        <x:v>14100</x:v>
      </x:c>
      <x:c r="F9" s="79" t="str">
        <x:v>采购、上游运输、运营废弃物；不完整</x:v>
      </x:c>
      <x:c r="G9" s="23" t="str">
        <x:v>未鉴证</x:v>
      </x:c>
    </x:row>
    <x:row r="10">
      <x:c r="A10" s="70" t="str">
        <x:v>总能耗</x:v>
      </x:c>
      <x:c r="B10" s="67" t="str">
        <x:v>MWh</x:v>
      </x:c>
      <x:c r="C10" s="73" t="n">
        <x:v>18400</x:v>
      </x:c>
      <x:c r="D10" s="73" t="n">
        <x:v>18050</x:v>
      </x:c>
      <x:c r="E10" s="73" t="n">
        <x:v>17620</x:v>
      </x:c>
      <x:c r="F10" s="79" t="str">
        <x:v>电力、天然气和柴油折算</x:v>
      </x:c>
      <x:c r="G10" s="23" t="str">
        <x:v>内部复核</x:v>
      </x:c>
    </x:row>
    <x:row r="11">
      <x:c r="A11" s="70" t="str">
        <x:v>可再生能源</x:v>
      </x:c>
      <x:c r="B11" s="67" t="str">
        <x:v>MWh</x:v>
      </x:c>
      <x:c r="C11" s="73" t="n">
        <x:v>2600</x:v>
      </x:c>
      <x:c r="D11" s="73" t="n">
        <x:v>3900</x:v>
      </x:c>
      <x:c r="E11" s="73" t="n">
        <x:v>5280</x:v>
      </x:c>
      <x:c r="F11" s="79" t="str">
        <x:v>屋顶光伏 + 绿电采购</x:v>
      </x:c>
      <x:c r="G11" s="23" t="str">
        <x:v>内部复核</x:v>
      </x:c>
    </x:row>
    <x:row r="12">
      <x:c r="A12" s="70" t="str">
        <x:v>可再生能源占比</x:v>
      </x:c>
      <x:c r="B12" s="67" t="str">
        <x:v>%</x:v>
      </x:c>
      <x:c r="C12" s="74" t="n">
        <x:f>C11/C10</x:f>
        <x:v>0.14130434782608695</x:v>
      </x:c>
      <x:c r="D12" s="74" t="n">
        <x:f>D11/D10</x:f>
        <x:v>0.21606648199445982</x:v>
      </x:c>
      <x:c r="E12" s="74" t="n">
        <x:f>E11/E10</x:f>
        <x:v>0.2996594778660613</x:v>
      </x:c>
      <x:c r="F12" s="79" t="str">
        <x:v>可再生能源 / 总能耗</x:v>
      </x:c>
      <x:c r="G12" s="23" t="str">
        <x:v>公式</x:v>
      </x:c>
    </x:row>
    <x:row r="13">
      <x:c r="A13" s="70" t="str">
        <x:v>产量</x:v>
      </x:c>
      <x:c r="B13" s="67" t="str">
        <x:v>吨产品</x:v>
      </x:c>
      <x:c r="C13" s="75" t="n">
        <x:v>98000</x:v>
      </x:c>
      <x:c r="D13" s="75" t="n">
        <x:v>103000</x:v>
      </x:c>
      <x:c r="E13" s="75" t="n">
        <x:v>109000</x:v>
      </x:c>
      <x:c r="F13" s="79" t="str">
        <x:v>合格产品入库量</x:v>
      </x:c>
      <x:c r="G13" s="23" t="str">
        <x:v>内部复核</x:v>
      </x:c>
    </x:row>
    <x:row r="14">
      <x:c r="A14" s="70" t="str">
        <x:v>范围一与二排放强度</x:v>
      </x:c>
      <x:c r="B14" s="67" t="str">
        <x:v>tCO2e/千吨产品</x:v>
      </x:c>
      <x:c r="C14" s="76" t="n">
        <x:f>C8/C13*1000</x:f>
        <x:v>115.3061224489796</x:v>
      </x:c>
      <x:c r="D14" s="76" t="n">
        <x:f>D8/D13*1000</x:f>
        <x:v>99.51456310679612</x:v>
      </x:c>
      <x:c r="E14" s="76" t="n">
        <x:f>E8/E13*1000</x:f>
        <x:v>82.93577981651376</x:v>
      </x:c>
      <x:c r="F14" s="79" t="str">
        <x:v>合计排放 / 产量 × 1000</x:v>
      </x:c>
      <x:c r="G14" s="23" t="str">
        <x:v>公式</x:v>
      </x:c>
    </x:row>
    <x:row r="15">
      <x:c r="A15" s="71" t="str">
        <x:v>2023 基准年降幅</x:v>
      </x:c>
      <x:c r="B15" s="68" t="str">
        <x:v>%</x:v>
      </x:c>
      <x:c r="C15" s="77" t="n">
        <x:f>0</x:f>
        <x:v>0</x:v>
      </x:c>
      <x:c r="D15" s="77" t="n">
        <x:f>1-D8/C8</x:f>
        <x:v>0.09292035398230092</x:v>
      </x:c>
      <x:c r="E15" s="77" t="n">
        <x:f>1-E8/C8</x:f>
        <x:v>0.19999999999999996</x:v>
      </x:c>
      <x:c r="F15" s="80" t="str">
        <x:v>1 - 当年合计/2023 合计</x:v>
      </x:c>
      <x:c r="G15" s="25" t="str">
        <x:v>公式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13" hidden="0" customWidth="1"/>
    <x:col min="4" max="4" width="13" hidden="0" customWidth="1"/>
    <x:col min="5" max="5" width="13" hidden="0" customWidth="1"/>
    <x:col min="6" max="6" width="37" hidden="0" customWidth="1"/>
    <x:col min="7" max="7" width="16" hidden="0" customWidth="1"/>
  </x:cols>
  <x:sheetData>
    <x:row r="1" ht="34" customHeight="1">
      <x:c r="A1" s="3" t="str">
        <x:v>水、废弃物与循环产品</x:v>
      </x:c>
      <x:c r="B1" s="3" t="str">
        <x:v>水、废弃物与循环产品</x:v>
      </x:c>
      <x:c r="C1" s="3" t="str">
        <x:v>水、废弃物与循环产品</x:v>
      </x:c>
      <x:c r="D1" s="3" t="str">
        <x:v>水、废弃物与循环产品</x:v>
      </x:c>
      <x:c r="E1" s="3" t="str">
        <x:v>水、废弃物与循环产品</x:v>
      </x:c>
      <x:c r="F1" s="3" t="str">
        <x:v>水、废弃物与循环产品</x:v>
      </x:c>
      <x:c r="G1" s="3" t="str">
        <x:v>水、废弃物与循环产品</x:v>
      </x:c>
    </x:row>
    <x:row r="2" ht="24" customHeight="1">
      <x:c r="A2" s="6" t="str">
        <x:v>三年比较数据 | 完全虚构测试资料</x:v>
      </x:c>
      <x:c r="B2" s="6" t="str">
        <x:v>三年比较数据 | 完全虚构测试资料</x:v>
      </x:c>
      <x:c r="C2" s="6" t="str">
        <x:v>三年比较数据 | 完全虚构测试资料</x:v>
      </x:c>
      <x:c r="D2" s="6" t="str">
        <x:v>三年比较数据 | 完全虚构测试资料</x:v>
      </x:c>
      <x:c r="E2" s="6" t="str">
        <x:v>三年比较数据 | 完全虚构测试资料</x:v>
      </x:c>
      <x:c r="F2" s="6" t="str">
        <x:v>三年比较数据 | 完全虚构测试资料</x:v>
      </x:c>
      <x:c r="G2" s="6" t="str">
        <x:v>三年比较数据 | 完全虚构测试资料</x:v>
      </x:c>
    </x:row>
    <x:row r="4" ht="28" customHeight="1">
      <x:c r="A4" s="12" t="str">
        <x:v>指标</x:v>
      </x:c>
      <x:c r="B4" s="12" t="str">
        <x:v>单位</x:v>
      </x:c>
      <x:c r="C4" s="12" t="str">
        <x:v>2023</x:v>
      </x:c>
      <x:c r="D4" s="12" t="str">
        <x:v>2024</x:v>
      </x:c>
      <x:c r="E4" s="12" t="str">
        <x:v>2025</x:v>
      </x:c>
      <x:c r="F4" s="12" t="str">
        <x:v>数据来源/口径</x:v>
      </x:c>
      <x:c r="G4" s="12" t="str">
        <x:v>复核状态</x:v>
      </x:c>
    </x:row>
    <x:row r="5">
      <x:c r="A5" s="69" t="str">
        <x:v>取水量</x:v>
      </x:c>
      <x:c r="B5" s="66" t="str">
        <x:v>m3</x:v>
      </x:c>
      <x:c r="C5" s="72" t="n">
        <x:v>112000</x:v>
      </x:c>
      <x:c r="D5" s="72" t="n">
        <x:v>108500</x:v>
      </x:c>
      <x:c r="E5" s="72" t="n">
        <x:v>104200</x:v>
      </x:c>
      <x:c r="F5" s="78" t="str">
        <x:v>市政供水 + 回用补水</x:v>
      </x:c>
      <x:c r="G5" s="21" t="str">
        <x:v>内部复核</x:v>
      </x:c>
    </x:row>
    <x:row r="6">
      <x:c r="A6" s="70" t="str">
        <x:v>排水量</x:v>
      </x:c>
      <x:c r="B6" s="67" t="str">
        <x:v>m3</x:v>
      </x:c>
      <x:c r="C6" s="73" t="n">
        <x:v>78200</x:v>
      </x:c>
      <x:c r="D6" s="73" t="n">
        <x:v>75600</x:v>
      </x:c>
      <x:c r="E6" s="73" t="n">
        <x:v>72800</x:v>
      </x:c>
      <x:c r="F6" s="79" t="str">
        <x:v>依法排入园区污水系统</x:v>
      </x:c>
      <x:c r="G6" s="23" t="str">
        <x:v>内部复核</x:v>
      </x:c>
    </x:row>
    <x:row r="7">
      <x:c r="A7" s="70" t="str">
        <x:v>回用水量</x:v>
      </x:c>
      <x:c r="B7" s="67" t="str">
        <x:v>m3</x:v>
      </x:c>
      <x:c r="C7" s="73" t="n">
        <x:v>18600</x:v>
      </x:c>
      <x:c r="D7" s="73" t="n">
        <x:v>22400</x:v>
      </x:c>
      <x:c r="E7" s="73" t="n">
        <x:v>27900</x:v>
      </x:c>
      <x:c r="F7" s="79" t="str">
        <x:v>循环水计量表</x:v>
      </x:c>
      <x:c r="G7" s="23" t="str">
        <x:v>内部复核</x:v>
      </x:c>
    </x:row>
    <x:row r="8">
      <x:c r="A8" s="70" t="str">
        <x:v>取水强度</x:v>
      </x:c>
      <x:c r="B8" s="67" t="str">
        <x:v>m3/吨产品</x:v>
      </x:c>
      <x:c r="C8" s="81" t="n">
        <x:f>C5/'能源与排放'!C13</x:f>
        <x:v>1.1428571428571428</x:v>
      </x:c>
      <x:c r="D8" s="81" t="n">
        <x:f>D5/'能源与排放'!D13</x:f>
        <x:v>1.0533980582524272</x:v>
      </x:c>
      <x:c r="E8" s="81" t="n">
        <x:f>E5/'能源与排放'!E13</x:f>
        <x:v>0.9559633027522936</x:v>
      </x:c>
      <x:c r="F8" s="79" t="str">
        <x:v>取水量 / 产量</x:v>
      </x:c>
      <x:c r="G8" s="23" t="str">
        <x:v>公式</x:v>
      </x:c>
    </x:row>
    <x:row r="9">
      <x:c r="A9" s="70" t="str">
        <x:v>废弃物总量</x:v>
      </x:c>
      <x:c r="B9" s="67" t="str">
        <x:v>吨</x:v>
      </x:c>
      <x:c r="C9" s="73" t="n">
        <x:v>6350</x:v>
      </x:c>
      <x:c r="D9" s="73" t="n">
        <x:v>6580</x:v>
      </x:c>
      <x:c r="E9" s="73" t="n">
        <x:v>7020</x:v>
      </x:c>
      <x:c r="F9" s="79" t="str">
        <x:v>一般 + 危险废弃物</x:v>
      </x:c>
      <x:c r="G9" s="23" t="str">
        <x:v>内部复核</x:v>
      </x:c>
    </x:row>
    <x:row r="10">
      <x:c r="A10" s="70" t="str">
        <x:v>危险废弃物</x:v>
      </x:c>
      <x:c r="B10" s="67" t="str">
        <x:v>吨</x:v>
      </x:c>
      <x:c r="C10" s="73" t="n">
        <x:v>190</x:v>
      </x:c>
      <x:c r="D10" s="73" t="n">
        <x:v>176</x:v>
      </x:c>
      <x:c r="E10" s="73" t="n">
        <x:v>168</x:v>
      </x:c>
      <x:c r="F10" s="79" t="str">
        <x:v>依法转移处置</x:v>
      </x:c>
      <x:c r="G10" s="23" t="str">
        <x:v>内部复核</x:v>
      </x:c>
    </x:row>
    <x:row r="11">
      <x:c r="A11" s="70" t="str">
        <x:v>资源化废弃物</x:v>
      </x:c>
      <x:c r="B11" s="67" t="str">
        <x:v>吨</x:v>
      </x:c>
      <x:c r="C11" s="73" t="n">
        <x:v>5650</x:v>
      </x:c>
      <x:c r="D11" s="73" t="n">
        <x:v>6000</x:v>
      </x:c>
      <x:c r="E11" s="73" t="n">
        <x:v>6500</x:v>
      </x:c>
      <x:c r="F11" s="79" t="str">
        <x:v>再利用、再生利用及能量回收</x:v>
      </x:c>
      <x:c r="G11" s="23" t="str">
        <x:v>内部复核</x:v>
      </x:c>
    </x:row>
    <x:row r="12">
      <x:c r="A12" s="70" t="str">
        <x:v>废弃物资源化率</x:v>
      </x:c>
      <x:c r="B12" s="67" t="str">
        <x:v>%</x:v>
      </x:c>
      <x:c r="C12" s="74" t="n">
        <x:f>C11/C9</x:f>
        <x:v>0.889763779527559</x:v>
      </x:c>
      <x:c r="D12" s="74" t="n">
        <x:f>D11/D9</x:f>
        <x:v>0.9118541033434651</x:v>
      </x:c>
      <x:c r="E12" s="74" t="n">
        <x:f>E11/E9</x:f>
        <x:v>0.9259259259259259</x:v>
      </x:c>
      <x:c r="F12" s="79" t="str">
        <x:v>资源化废弃物 / 废弃物总量</x:v>
      </x:c>
      <x:c r="G12" s="23" t="str">
        <x:v>公式</x:v>
      </x:c>
    </x:row>
    <x:row r="13">
      <x:c r="A13" s="70" t="str">
        <x:v>产品平均再生材料占比</x:v>
      </x:c>
      <x:c r="B13" s="67" t="str">
        <x:v>%</x:v>
      </x:c>
      <x:c r="C13" s="74" t="n">
        <x:v>0.58</x:v>
      </x:c>
      <x:c r="D13" s="74" t="n">
        <x:v>0.62</x:v>
      </x:c>
      <x:c r="E13" s="74" t="n">
        <x:v>0.67</x:v>
      </x:c>
      <x:c r="F13" s="79" t="str">
        <x:v>按年度产品重量加权</x:v>
      </x:c>
      <x:c r="G13" s="23" t="str">
        <x:v>内部复核</x:v>
      </x:c>
    </x:row>
    <x:row r="14">
      <x:c r="A14" s="70" t="str">
        <x:v>重大环境处罚</x:v>
      </x:c>
      <x:c r="B14" s="67" t="str">
        <x:v>件</x:v>
      </x:c>
      <x:c r="C14" s="75" t="n">
        <x:v>0</x:v>
      </x:c>
      <x:c r="D14" s="75" t="n">
        <x:v>0</x:v>
      </x:c>
      <x:c r="E14" s="75" t="n">
        <x:v>0</x:v>
      </x:c>
      <x:c r="F14" s="79" t="str">
        <x:v>重大指单笔罚款 10 万元及以上</x:v>
      </x:c>
      <x:c r="G14" s="23" t="str">
        <x:v>内部复核</x:v>
      </x:c>
    </x:row>
    <x:row r="15">
      <x:c r="A15" s="71" t="str">
        <x:v>环境投诉</x:v>
      </x:c>
      <x:c r="B15" s="68" t="str">
        <x:v>件</x:v>
      </x:c>
      <x:c r="C15" s="82" t="n">
        <x:v>3</x:v>
      </x:c>
      <x:c r="D15" s="82" t="n">
        <x:v>2</x:v>
      </x:c>
      <x:c r="E15" s="82" t="n">
        <x:v>1</x:v>
      </x:c>
      <x:c r="F15" s="80" t="str">
        <x:v>经登记的外部环境投诉</x:v>
      </x:c>
      <x:c r="G15" s="25" t="str">
        <x:v>内部复核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7" hidden="0" customWidth="1"/>
    <x:col min="3" max="3" width="22" hidden="0" customWidth="1"/>
    <x:col min="4" max="4" width="43" hidden="0" customWidth="1"/>
    <x:col min="5" max="5" width="40" hidden="0" customWidth="1"/>
  </x:cols>
  <x:sheetData>
    <x:row r="1" ht="34" customHeight="1">
      <x:c r="A1" s="83" t="str">
        <x:v>口径、责任人与复核</x:v>
      </x:c>
      <x:c r="B1" s="83" t="str">
        <x:v>口径、责任人与复核</x:v>
      </x:c>
      <x:c r="C1" s="83" t="str">
        <x:v>口径、责任人与复核</x:v>
      </x:c>
      <x:c r="D1" s="83" t="str">
        <x:v>口径、责任人与复核</x:v>
      </x:c>
      <x:c r="E1" s="83" t="str">
        <x:v>口径、责任人与复核</x:v>
      </x:c>
    </x:row>
    <x:row r="2" ht="24" customHeight="1">
      <x:c r="A2" s="6" t="str">
        <x:v>用于审计式追踪；“内部复核”不等于第三方鉴证</x:v>
      </x:c>
      <x:c r="B2" s="6" t="str">
        <x:v>用于审计式追踪；“内部复核”不等于第三方鉴证</x:v>
      </x:c>
      <x:c r="C2" s="6" t="str">
        <x:v>用于审计式追踪；“内部复核”不等于第三方鉴证</x:v>
      </x:c>
      <x:c r="D2" s="6" t="str">
        <x:v>用于审计式追踪；“内部复核”不等于第三方鉴证</x:v>
      </x:c>
      <x:c r="E2" s="6" t="str">
        <x:v>用于审计式追踪；“内部复核”不等于第三方鉴证</x:v>
      </x:c>
    </x:row>
    <x:row r="4" ht="28" customHeight="1">
      <x:c r="A4" s="12" t="str">
        <x:v>主题</x:v>
      </x:c>
      <x:c r="B4" s="12" t="str">
        <x:v>组织边界</x:v>
      </x:c>
      <x:c r="C4" s="12" t="str">
        <x:v>责任部门</x:v>
      </x:c>
      <x:c r="D4" s="12" t="str">
        <x:v>主要凭证</x:v>
      </x:c>
      <x:c r="E4" s="12" t="str">
        <x:v>限制/说明</x:v>
      </x:c>
    </x:row>
    <x:row r="5" ht="42" customHeight="1">
      <x:c r="A5" s="69" t="str">
        <x:v>温室气体</x:v>
      </x:c>
      <x:c r="B5" s="66" t="str">
        <x:v>苏州工厂 + 无锡仓储</x:v>
      </x:c>
      <x:c r="C5" s="66" t="str">
        <x:v>可持续发展部</x:v>
      </x:c>
      <x:c r="D5" s="66" t="str">
        <x:v>能源账单、采购合同、排放因子表</x:v>
      </x:c>
      <x:c r="E5" s="21" t="str">
        <x:v>范围三仅覆盖三类；全部未鉴证</x:v>
      </x:c>
    </x:row>
    <x:row r="6" ht="42" customHeight="1">
      <x:c r="A6" s="70" t="str">
        <x:v>能源</x:v>
      </x:c>
      <x:c r="B6" s="67" t="str">
        <x:v>苏州工厂 + 无锡仓储</x:v>
      </x:c>
      <x:c r="C6" s="67" t="str">
        <x:v>设备能源部</x:v>
      </x:c>
      <x:c r="D6" s="67" t="str">
        <x:v>电表、燃气账单、柴油领用单</x:v>
      </x:c>
      <x:c r="E6" s="23" t="str">
        <x:v>共享办公点无独立计量，排除</x:v>
      </x:c>
    </x:row>
    <x:row r="7" ht="42" customHeight="1">
      <x:c r="A7" s="70" t="str">
        <x:v>水</x:v>
      </x:c>
      <x:c r="B7" s="67" t="str">
        <x:v>苏州工厂 + 无锡仓储</x:v>
      </x:c>
      <x:c r="C7" s="67" t="str">
        <x:v>EHS 部</x:v>
      </x:c>
      <x:c r="D7" s="67" t="str">
        <x:v>水表与园区账单</x:v>
      </x:c>
      <x:c r="E7" s="23" t="str">
        <x:v>回用水为内部计量</x:v>
      </x:c>
    </x:row>
    <x:row r="8" ht="42" customHeight="1">
      <x:c r="A8" s="70" t="str">
        <x:v>废弃物</x:v>
      </x:c>
      <x:c r="B8" s="67" t="str">
        <x:v>苏州工厂 + 无锡仓储</x:v>
      </x:c>
      <x:c r="C8" s="67" t="str">
        <x:v>EHS 部</x:v>
      </x:c>
      <x:c r="D8" s="67" t="str">
        <x:v>转移联单、称重记录</x:v>
      </x:c>
      <x:c r="E8" s="23" t="str">
        <x:v>资源化含能量回收</x:v>
      </x:c>
    </x:row>
    <x:row r="9" ht="42" customHeight="1">
      <x:c r="A9" s="70" t="str">
        <x:v>产品再生材料</x:v>
      </x:c>
      <x:c r="B9" s="67" t="str">
        <x:v>报告期出库合格产品</x:v>
      </x:c>
      <x:c r="C9" s="67" t="str">
        <x:v>质量与研发部</x:v>
      </x:c>
      <x:c r="D9" s="67" t="str">
        <x:v>BOM、批次记录、产量报表</x:v>
      </x:c>
      <x:c r="E9" s="23" t="str">
        <x:v>按年度产品重量加权</x:v>
      </x:c>
    </x:row>
    <x:row r="10" ht="42" customHeight="1">
      <x:c r="A10" s="70" t="str">
        <x:v>基准年</x:v>
      </x:c>
      <x:c r="B10" s="67" t="str">
        <x:v>与 2025 相同</x:v>
      </x:c>
      <x:c r="C10" s="67" t="str">
        <x:v>可持续发展部</x:v>
      </x:c>
      <x:c r="D10" s="67" t="str">
        <x:v>2023 归档工作簿</x:v>
      </x:c>
      <x:c r="E10" s="23" t="str">
        <x:v>2025 年未触发基准年重算</x:v>
      </x:c>
    </x:row>
    <x:row r="11" ht="42" customHeight="1">
      <x:c r="A11" s="71" t="str">
        <x:v>复核流程</x:v>
      </x:c>
      <x:c r="B11" s="68" t="str">
        <x:v>全部指标</x:v>
      </x:c>
      <x:c r="C11" s="68" t="str">
        <x:v>财务部</x:v>
      </x:c>
      <x:c r="D11" s="68" t="str">
        <x:v>季度异常清单、年度凭证抽查</x:v>
      </x:c>
      <x:c r="E11" s="25" t="str">
        <x:v>不构成鉴证结论</x:v>
      </x:c>
    </x:row>
  </x:sheetData>
  <x:mergeCells>
    <x:mergeCell ref="A1:E1"/>
    <x:mergeCell ref="A2:E2"/>
  </x:mergeCells>
  <x:pageMargins left="0.7" right="0.7" top="0.75" bottom="0.75" header="0.3" footer="0.3"/>
</x:worksheet>
</file>